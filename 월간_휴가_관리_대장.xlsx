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휴가관리대장" state="visible" r:id="rId4"/>
    <sheet sheetId="2" name="설정" state="visible" r:id="rId5"/>
  </sheets>
  <calcPr calcId="171027"/>
</workbook>
</file>

<file path=xl/sharedStrings.xml><?xml version="1.0" encoding="utf-8"?>
<sst xmlns="http://schemas.openxmlformats.org/spreadsheetml/2006/main" count="45" uniqueCount="37">
  <si>
    <t>월간 직원 휴가 관리 대장</t>
  </si>
  <si>
    <t>선택 연도:</t>
  </si>
  <si>
    <t>선택 월:</t>
  </si>
  <si>
    <t>오늘 날짜:</t>
  </si>
  <si>
    <t>오늘 휴가자 수:</t>
  </si>
  <si>
    <t>오늘 휴가자:</t>
  </si>
  <si>
    <t>직원명</t>
  </si>
  <si>
    <t>연차</t>
  </si>
  <si>
    <t>오전반차</t>
  </si>
  <si>
    <t>오후반차</t>
  </si>
  <si>
    <t>공가/교육</t>
  </si>
  <si>
    <t>재택</t>
  </si>
  <si>
    <t>출장</t>
  </si>
  <si>
    <t>총 사용</t>
  </si>
  <si>
    <t>강지연</t>
  </si>
  <si>
    <t>홍길동</t>
  </si>
  <si>
    <t>김영희</t>
  </si>
  <si>
    <t>이철수</t>
  </si>
  <si>
    <t>박민수</t>
  </si>
  <si>
    <t>최수연</t>
  </si>
  <si>
    <t>정우성</t>
  </si>
  <si>
    <t>한지민</t>
  </si>
  <si>
    <t>공유</t>
  </si>
  <si>
    <t>김고은</t>
  </si>
  <si>
    <t>이병헌</t>
  </si>
  <si>
    <t>송혜교</t>
  </si>
  <si>
    <t>조인성</t>
  </si>
  <si>
    <t>전지현</t>
  </si>
  <si>
    <t>강동원</t>
  </si>
  <si>
    <t>손예진</t>
  </si>
  <si>
    <t>일별 휴가 인원</t>
  </si>
  <si>
    <t>휴가 종류</t>
  </si>
  <si>
    <t>연도 선택</t>
  </si>
  <si>
    <t>월 선택</t>
  </si>
  <si>
    <t>공휴일 목록</t>
  </si>
  <si>
    <t>공가</t>
  </si>
  <si>
    <t>교육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</si>
</sst>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d(aaa)"/>
  </numFmts>
  <fonts count="13" x14ac:knownFonts="1">
    <font>
      <color theme="1"/>
      <family val="2"/>
      <scheme val="minor"/>
      <sz val="11"/>
      <name val="Calibri"/>
    </font>
    <font>
      <b/>
      <color rgb="00111111"/>
      <sz val="18"/>
      <name val="맑은 고딕"/>
    </font>
    <font>
      <b/>
      <sz val="10"/>
      <name val="맑은 고딕"/>
    </font>
    <font>
      <b/>
      <color rgb="000056B3"/>
      <sz val="10"/>
      <name val="맑은 고딕"/>
    </font>
    <font>
      <color rgb="00555555"/>
      <sz val="9"/>
      <name val="맑은 고딕"/>
    </font>
    <font>
      <b/>
      <color rgb="00C0392B"/>
      <sz val="11"/>
      <name val="맑은 고딕"/>
    </font>
    <font>
      <b/>
      <color rgb="00555555"/>
      <sz val="9"/>
      <name val="맑은 고딕"/>
    </font>
    <font>
      <b/>
      <color rgb="00333333"/>
      <sz val="10"/>
      <name val="맑은 고딕"/>
    </font>
    <font>
      <b/>
      <color rgb="00FFFFFF"/>
      <sz val="10"/>
      <name val="맑은 고딕"/>
    </font>
    <font>
      <b/>
      <color rgb="00333333"/>
      <sz val="9"/>
      <name val="맑은 고딕"/>
    </font>
    <font>
      <color rgb="00333333"/>
      <sz val="10"/>
      <name val="맑은 고딕"/>
    </font>
    <font>
      <b/>
      <color rgb="00111111"/>
      <sz val="10"/>
      <name val="맑은 고딕"/>
    </font>
    <font>
      <b/>
    </font>
  </fonts>
  <fills count="11">
    <fill>
      <patternFill patternType="none"/>
    </fill>
    <fill>
      <patternFill patternType="gray125"/>
    </fill>
    <fill>
      <patternFill/>
    </fill>
    <fill>
      <patternFill patternType="solid">
        <fgColor rgb="00E6F0FA"/>
        <bgColor rgb="00E6F0FA"/>
      </patternFill>
    </fill>
    <fill>
      <patternFill patternType="solid">
        <fgColor rgb="002F4F4F"/>
        <bgColor rgb="002F4F4F"/>
      </patternFill>
    </fill>
    <fill>
      <patternFill patternType="solid">
        <fgColor rgb="00F2F4F4"/>
        <bgColor rgb="00F2F4F4"/>
      </patternFill>
    </fill>
    <fill>
      <patternFill patternType="solid">
        <fgColor rgb="004A5568"/>
        <bgColor rgb="004A5568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FAFAFA"/>
        <bgColor rgb="00FAFAFA"/>
      </patternFill>
    </fill>
    <fill>
      <patternFill patternType="solid">
        <fgColor rgb="00EDF2F7"/>
        <bgColor rgb="00EDF2F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33333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/>
    <xf numFmtId="164" fontId="2" fillId="2" borderId="0" xfId="0" applyNumberFormat="1" applyFont="1" applyFill="1"/>
    <xf numFmtId="0" fontId="5" fillId="2" borderId="0" xfId="0" applyFont="1" applyFill="1"/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2" borderId="0" xfId="0" applyFont="1" applyFill="1"/>
  </cellXfs>
  <cellStyles count="1">
    <cellStyle name="Normal" xfId="0" builtinId="0"/>
  </cellStyles>
  <dxfs count="9">
    <dxf>
      <font>
        <b/>
        <color rgb="00111111"/>
      </font>
      <fill>
        <patternFill patternType="solid">
          <fgColor rgb="00FADBD8"/>
          <bgColor rgb="00FADBD8"/>
        </patternFill>
      </fill>
    </dxf>
    <dxf>
      <font>
        <b/>
        <color rgb="00111111"/>
      </font>
      <fill>
        <patternFill patternType="solid">
          <fgColor rgb="00FCF3CF"/>
          <bgColor rgb="00FCF3CF"/>
        </patternFill>
      </fill>
    </dxf>
    <dxf>
      <font>
        <b/>
        <color rgb="00111111"/>
      </font>
      <fill>
        <patternFill patternType="solid">
          <fgColor rgb="00FEF9E7"/>
          <bgColor rgb="00FEF9E7"/>
        </patternFill>
      </fill>
    </dxf>
    <dxf>
      <font>
        <b/>
        <color rgb="00111111"/>
      </font>
      <fill>
        <patternFill patternType="solid">
          <fgColor rgb="00D4EFDF"/>
          <bgColor rgb="00D4EFDF"/>
        </patternFill>
      </fill>
    </dxf>
    <dxf>
      <font>
        <b/>
        <color rgb="00111111"/>
      </font>
      <fill>
        <patternFill patternType="solid">
          <fgColor rgb="00D6EAF8"/>
          <bgColor rgb="00D6EAF8"/>
        </patternFill>
      </fill>
    </dxf>
    <dxf>
      <font>
        <b/>
        <color rgb="00111111"/>
      </font>
      <fill>
        <patternFill patternType="solid">
          <fgColor rgb="00E8F8F5"/>
          <bgColor rgb="00E8F8F5"/>
        </patternFill>
      </fill>
    </dxf>
    <dxf>
      <font>
        <b/>
        <color rgb="00111111"/>
      </font>
      <fill>
        <patternFill patternType="solid">
          <fgColor rgb="00EAECEE"/>
          <bgColor rgb="00EAECEE"/>
        </patternFill>
      </fill>
    </dxf>
    <dxf>
      <fill>
        <patternFill patternType="solid">
          <fgColor rgb="00EBF5FB"/>
          <bgColor rgb="00EBF5FB"/>
        </patternFill>
      </fill>
    </dxf>
    <dxf>
      <fill>
        <patternFill patternType="solid">
          <fgColor rgb="00FDEDEC"/>
          <bgColor rgb="00FDED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2:AM2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32" width="7.5" customWidth="1"/>
    <col min="33" max="39" width="10" customWidth="1"/>
  </cols>
  <sheetData>
    <row r="2" ht="30" customHeight="1" spans="2:2" x14ac:dyDescent="0.25">
      <c r="B2" s="1" t="s">
        <v>0</v>
      </c>
    </row>
    <row r="4" spans="2:19" x14ac:dyDescent="0.25">
      <c r="B4" s="2" t="s">
        <v>1</v>
      </c>
      <c r="C4" s="3">
        <v>2026</v>
      </c>
      <c r="D4" s="2" t="s">
        <v>2</v>
      </c>
      <c r="E4" s="3">
        <v>7</v>
      </c>
      <c r="G4" s="4" t="s">
        <v>3</v>
      </c>
      <c r="H4" s="5">
        <f>TODAY()</f>
      </c>
      <c r="J4" s="4" t="s">
        <v>4</v>
      </c>
      <c r="K4" s="6">
        <f>IF(AND(YEAR(H4)=C4,MONTH(H4)=E4),IFERROR(INDEX(B23:AF23,MATCH(H4,B6:AF6,0)),0),0)</f>
      </c>
      <c r="L4" s="7" t="s">
        <v>5</v>
      </c>
      <c r="M4" s="8">
        <f>IF(K4=0,"없음",TEXTJOIN(", ",TRUE,IF((B6:AF6=H4)*(B7:AF22&lt;&gt;"")*(B7:AF22&lt;&gt;"재택")*(B7:AF22&lt;&gt;"출장"),A7:A22,"")))</f>
      </c>
      <c r="N4" s="8"/>
      <c r="O4" s="8"/>
      <c r="P4" s="8"/>
      <c r="Q4" s="8"/>
      <c r="R4" s="8"/>
      <c r="S4" s="8"/>
    </row>
    <row r="6" ht="26" customHeight="1" spans="1:39" x14ac:dyDescent="0.25">
      <c r="A6" s="9" t="s">
        <v>6</v>
      </c>
      <c r="B6" s="10">
        <f>DATE($C$4,$E$4,1)</f>
      </c>
      <c r="C6" s="10">
        <f>IF(B6="","",IF(MONTH(B6+1)=$E$4,B6+1,""))</f>
      </c>
      <c r="D6" s="10">
        <f>IF(C6="","",IF(MONTH(C6+1)=$E$4,C6+1,""))</f>
      </c>
      <c r="E6" s="10">
        <f>IF(D6="","",IF(MONTH(D6+1)=$E$4,D6+1,""))</f>
      </c>
      <c r="F6" s="10">
        <f>IF(E6="","",IF(MONTH(E6+1)=$E$4,E6+1,""))</f>
      </c>
      <c r="G6" s="10">
        <f>IF(F6="","",IF(MONTH(F6+1)=$E$4,F6+1,""))</f>
      </c>
      <c r="H6" s="10">
        <f>IF(G6="","",IF(MONTH(G6+1)=$E$4,G6+1,""))</f>
      </c>
      <c r="I6" s="10">
        <f>IF(H6="","",IF(MONTH(H6+1)=$E$4,H6+1,""))</f>
      </c>
      <c r="J6" s="10">
        <f>IF(I6="","",IF(MONTH(I6+1)=$E$4,I6+1,""))</f>
      </c>
      <c r="K6" s="10">
        <f>IF(J6="","",IF(MONTH(J6+1)=$E$4,J6+1,""))</f>
      </c>
      <c r="L6" s="10">
        <f>IF(K6="","",IF(MONTH(K6+1)=$E$4,K6+1,""))</f>
      </c>
      <c r="M6" s="10">
        <f>IF(L6="","",IF(MONTH(L6+1)=$E$4,L6+1,""))</f>
      </c>
      <c r="N6" s="10">
        <f>IF(M6="","",IF(MONTH(M6+1)=$E$4,M6+1,""))</f>
      </c>
      <c r="O6" s="10">
        <f>IF(N6="","",IF(MONTH(N6+1)=$E$4,N6+1,""))</f>
      </c>
      <c r="P6" s="10">
        <f>IF(O6="","",IF(MONTH(O6+1)=$E$4,O6+1,""))</f>
      </c>
      <c r="Q6" s="10">
        <f>IF(P6="","",IF(MONTH(P6+1)=$E$4,P6+1,""))</f>
      </c>
      <c r="R6" s="10">
        <f>IF(Q6="","",IF(MONTH(Q6+1)=$E$4,Q6+1,""))</f>
      </c>
      <c r="S6" s="10">
        <f>IF(R6="","",IF(MONTH(R6+1)=$E$4,R6+1,""))</f>
      </c>
      <c r="T6" s="10">
        <f>IF(S6="","",IF(MONTH(S6+1)=$E$4,S6+1,""))</f>
      </c>
      <c r="U6" s="10">
        <f>IF(T6="","",IF(MONTH(T6+1)=$E$4,T6+1,""))</f>
      </c>
      <c r="V6" s="10">
        <f>IF(U6="","",IF(MONTH(U6+1)=$E$4,U6+1,""))</f>
      </c>
      <c r="W6" s="10">
        <f>IF(V6="","",IF(MONTH(V6+1)=$E$4,V6+1,""))</f>
      </c>
      <c r="X6" s="10">
        <f>IF(W6="","",IF(MONTH(W6+1)=$E$4,W6+1,""))</f>
      </c>
      <c r="Y6" s="10">
        <f>IF(X6="","",IF(MONTH(X6+1)=$E$4,X6+1,""))</f>
      </c>
      <c r="Z6" s="10">
        <f>IF(Y6="","",IF(MONTH(Y6+1)=$E$4,Y6+1,""))</f>
      </c>
      <c r="AA6" s="10">
        <f>IF(Z6="","",IF(MONTH(Z6+1)=$E$4,Z6+1,""))</f>
      </c>
      <c r="AB6" s="10">
        <f>IF(AA6="","",IF(MONTH(AA6+1)=$E$4,AA6+1,""))</f>
      </c>
      <c r="AC6" s="10">
        <f>IF(AB6="","",IF(MONTH(AB6+1)=$E$4,AB6+1,""))</f>
      </c>
      <c r="AD6" s="10">
        <f>IF(AC6="","",IF(MONTH(AC6+1)=$E$4,AC6+1,""))</f>
      </c>
      <c r="AE6" s="10">
        <f>IF(AD6="","",IF(MONTH(AD6+1)=$E$4,AD6+1,""))</f>
      </c>
      <c r="AF6" s="10">
        <f>IF(AE6="","",IF(MONTH(AE6+1)=$E$4,AE6+1,""))</f>
      </c>
      <c r="AG6" s="11" t="s">
        <v>7</v>
      </c>
      <c r="AH6" s="11" t="s">
        <v>8</v>
      </c>
      <c r="AI6" s="11" t="s">
        <v>9</v>
      </c>
      <c r="AJ6" s="11" t="s">
        <v>10</v>
      </c>
      <c r="AK6" s="11" t="s">
        <v>11</v>
      </c>
      <c r="AL6" s="11" t="s">
        <v>12</v>
      </c>
      <c r="AM6" s="11" t="s">
        <v>13</v>
      </c>
    </row>
    <row r="7" ht="22" customHeight="1" spans="1:39" x14ac:dyDescent="0.25">
      <c r="A7" s="12" t="s">
        <v>14</v>
      </c>
      <c r="B7" s="12" t="s">
        <v>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3">
        <f>COUNTIF(B7:AF7, "연차")</f>
      </c>
      <c r="AH7" s="13">
        <f>COUNTIF(B7:AF7, "오전반차")</f>
      </c>
      <c r="AI7" s="13">
        <f>COUNTIF(B7:AF7, "오후반차")</f>
      </c>
      <c r="AJ7" s="13">
        <f>COUNTIF(B7:AF7, "공가") + COUNTIF(B7:AF7, "교육")</f>
      </c>
      <c r="AK7" s="13">
        <f>COUNTIF(B7:AF7, "재택")</f>
      </c>
      <c r="AL7" s="13">
        <f>COUNTIF(B7:AF7, "출장")</f>
      </c>
      <c r="AM7" s="13">
        <f>AG7+(AH7+AI7)*0.5+AJ7</f>
      </c>
    </row>
    <row r="8" ht="22" customHeight="1" spans="1:39" x14ac:dyDescent="0.25">
      <c r="A8" s="14" t="s">
        <v>15</v>
      </c>
      <c r="B8" s="14"/>
      <c r="C8" s="14" t="s">
        <v>8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3">
        <f>COUNTIF(B8:AF8, "연차")</f>
      </c>
      <c r="AH8" s="13">
        <f>COUNTIF(B8:AF8, "오전반차")</f>
      </c>
      <c r="AI8" s="13">
        <f>COUNTIF(B8:AF8, "오후반차")</f>
      </c>
      <c r="AJ8" s="13">
        <f>COUNTIF(B8:AF8, "공가") + COUNTIF(B8:AF8, "교육")</f>
      </c>
      <c r="AK8" s="13">
        <f>COUNTIF(B8:AF8, "재택")</f>
      </c>
      <c r="AL8" s="13">
        <f>COUNTIF(B8:AF8, "출장")</f>
      </c>
      <c r="AM8" s="13">
        <f>AG8+(AH8+AI8)*0.5+AJ8</f>
      </c>
    </row>
    <row r="9" ht="22" customHeight="1" spans="1:39" x14ac:dyDescent="0.25">
      <c r="A9" s="12" t="s">
        <v>16</v>
      </c>
      <c r="B9" s="12"/>
      <c r="C9" s="12"/>
      <c r="D9" s="12" t="s">
        <v>11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3">
        <f>COUNTIF(B9:AF9, "연차")</f>
      </c>
      <c r="AH9" s="13">
        <f>COUNTIF(B9:AF9, "오전반차")</f>
      </c>
      <c r="AI9" s="13">
        <f>COUNTIF(B9:AF9, "오후반차")</f>
      </c>
      <c r="AJ9" s="13">
        <f>COUNTIF(B9:AF9, "공가") + COUNTIF(B9:AF9, "교육")</f>
      </c>
      <c r="AK9" s="13">
        <f>COUNTIF(B9:AF9, "재택")</f>
      </c>
      <c r="AL9" s="13">
        <f>COUNTIF(B9:AF9, "출장")</f>
      </c>
      <c r="AM9" s="13">
        <f>AG9+(AH9+AI9)*0.5+AJ9</f>
      </c>
    </row>
    <row r="10" ht="22" customHeight="1" spans="1:39" x14ac:dyDescent="0.25">
      <c r="A10" s="14" t="s">
        <v>17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3">
        <f>COUNTIF(B10:AF10, "연차")</f>
      </c>
      <c r="AH10" s="13">
        <f>COUNTIF(B10:AF10, "오전반차")</f>
      </c>
      <c r="AI10" s="13">
        <f>COUNTIF(B10:AF10, "오후반차")</f>
      </c>
      <c r="AJ10" s="13">
        <f>COUNTIF(B10:AF10, "공가") + COUNTIF(B10:AF10, "교육")</f>
      </c>
      <c r="AK10" s="13">
        <f>COUNTIF(B10:AF10, "재택")</f>
      </c>
      <c r="AL10" s="13">
        <f>COUNTIF(B10:AF10, "출장")</f>
      </c>
      <c r="AM10" s="13">
        <f>AG10+(AH10+AI10)*0.5+AJ10</f>
      </c>
    </row>
    <row r="11" ht="22" customHeight="1" spans="1:39" x14ac:dyDescent="0.25">
      <c r="A11" s="12" t="s">
        <v>18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>
        <f>COUNTIF(B11:AF11, "연차")</f>
      </c>
      <c r="AH11" s="13">
        <f>COUNTIF(B11:AF11, "오전반차")</f>
      </c>
      <c r="AI11" s="13">
        <f>COUNTIF(B11:AF11, "오후반차")</f>
      </c>
      <c r="AJ11" s="13">
        <f>COUNTIF(B11:AF11, "공가") + COUNTIF(B11:AF11, "교육")</f>
      </c>
      <c r="AK11" s="13">
        <f>COUNTIF(B11:AF11, "재택")</f>
      </c>
      <c r="AL11" s="13">
        <f>COUNTIF(B11:AF11, "출장")</f>
      </c>
      <c r="AM11" s="13">
        <f>AG11+(AH11+AI11)*0.5+AJ11</f>
      </c>
    </row>
    <row r="12" ht="22" customHeight="1" spans="1:39" x14ac:dyDescent="0.25">
      <c r="A12" s="14" t="s">
        <v>19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3">
        <f>COUNTIF(B12:AF12, "연차")</f>
      </c>
      <c r="AH12" s="13">
        <f>COUNTIF(B12:AF12, "오전반차")</f>
      </c>
      <c r="AI12" s="13">
        <f>COUNTIF(B12:AF12, "오후반차")</f>
      </c>
      <c r="AJ12" s="13">
        <f>COUNTIF(B12:AF12, "공가") + COUNTIF(B12:AF12, "교육")</f>
      </c>
      <c r="AK12" s="13">
        <f>COUNTIF(B12:AF12, "재택")</f>
      </c>
      <c r="AL12" s="13">
        <f>COUNTIF(B12:AF12, "출장")</f>
      </c>
      <c r="AM12" s="13">
        <f>AG12+(AH12+AI12)*0.5+AJ12</f>
      </c>
    </row>
    <row r="13" ht="22" customHeight="1" spans="1:39" x14ac:dyDescent="0.25">
      <c r="A13" s="12" t="s">
        <v>20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>
        <f>COUNTIF(B13:AF13, "연차")</f>
      </c>
      <c r="AH13" s="13">
        <f>COUNTIF(B13:AF13, "오전반차")</f>
      </c>
      <c r="AI13" s="13">
        <f>COUNTIF(B13:AF13, "오후반차")</f>
      </c>
      <c r="AJ13" s="13">
        <f>COUNTIF(B13:AF13, "공가") + COUNTIF(B13:AF13, "교육")</f>
      </c>
      <c r="AK13" s="13">
        <f>COUNTIF(B13:AF13, "재택")</f>
      </c>
      <c r="AL13" s="13">
        <f>COUNTIF(B13:AF13, "출장")</f>
      </c>
      <c r="AM13" s="13">
        <f>AG13+(AH13+AI13)*0.5+AJ13</f>
      </c>
    </row>
    <row r="14" ht="22" customHeight="1" spans="1:39" x14ac:dyDescent="0.25">
      <c r="A14" s="14" t="s">
        <v>21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3">
        <f>COUNTIF(B14:AF14, "연차")</f>
      </c>
      <c r="AH14" s="13">
        <f>COUNTIF(B14:AF14, "오전반차")</f>
      </c>
      <c r="AI14" s="13">
        <f>COUNTIF(B14:AF14, "오후반차")</f>
      </c>
      <c r="AJ14" s="13">
        <f>COUNTIF(B14:AF14, "공가") + COUNTIF(B14:AF14, "교육")</f>
      </c>
      <c r="AK14" s="13">
        <f>COUNTIF(B14:AF14, "재택")</f>
      </c>
      <c r="AL14" s="13">
        <f>COUNTIF(B14:AF14, "출장")</f>
      </c>
      <c r="AM14" s="13">
        <f>AG14+(AH14+AI14)*0.5+AJ14</f>
      </c>
    </row>
    <row r="15" ht="22" customHeight="1" spans="1:39" x14ac:dyDescent="0.25">
      <c r="A15" s="12" t="s">
        <v>22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3">
        <f>COUNTIF(B15:AF15, "연차")</f>
      </c>
      <c r="AH15" s="13">
        <f>COUNTIF(B15:AF15, "오전반차")</f>
      </c>
      <c r="AI15" s="13">
        <f>COUNTIF(B15:AF15, "오후반차")</f>
      </c>
      <c r="AJ15" s="13">
        <f>COUNTIF(B15:AF15, "공가") + COUNTIF(B15:AF15, "교육")</f>
      </c>
      <c r="AK15" s="13">
        <f>COUNTIF(B15:AF15, "재택")</f>
      </c>
      <c r="AL15" s="13">
        <f>COUNTIF(B15:AF15, "출장")</f>
      </c>
      <c r="AM15" s="13">
        <f>AG15+(AH15+AI15)*0.5+AJ15</f>
      </c>
    </row>
    <row r="16" ht="22" customHeight="1" spans="1:39" x14ac:dyDescent="0.25">
      <c r="A16" s="14" t="s">
        <v>23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3">
        <f>COUNTIF(B16:AF16, "연차")</f>
      </c>
      <c r="AH16" s="13">
        <f>COUNTIF(B16:AF16, "오전반차")</f>
      </c>
      <c r="AI16" s="13">
        <f>COUNTIF(B16:AF16, "오후반차")</f>
      </c>
      <c r="AJ16" s="13">
        <f>COUNTIF(B16:AF16, "공가") + COUNTIF(B16:AF16, "교육")</f>
      </c>
      <c r="AK16" s="13">
        <f>COUNTIF(B16:AF16, "재택")</f>
      </c>
      <c r="AL16" s="13">
        <f>COUNTIF(B16:AF16, "출장")</f>
      </c>
      <c r="AM16" s="13">
        <f>AG16+(AH16+AI16)*0.5+AJ16</f>
      </c>
    </row>
    <row r="17" ht="22" customHeight="1" spans="1:39" x14ac:dyDescent="0.25">
      <c r="A17" s="12" t="s">
        <v>24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3">
        <f>COUNTIF(B17:AF17, "연차")</f>
      </c>
      <c r="AH17" s="13">
        <f>COUNTIF(B17:AF17, "오전반차")</f>
      </c>
      <c r="AI17" s="13">
        <f>COUNTIF(B17:AF17, "오후반차")</f>
      </c>
      <c r="AJ17" s="13">
        <f>COUNTIF(B17:AF17, "공가") + COUNTIF(B17:AF17, "교육")</f>
      </c>
      <c r="AK17" s="13">
        <f>COUNTIF(B17:AF17, "재택")</f>
      </c>
      <c r="AL17" s="13">
        <f>COUNTIF(B17:AF17, "출장")</f>
      </c>
      <c r="AM17" s="13">
        <f>AG17+(AH17+AI17)*0.5+AJ17</f>
      </c>
    </row>
    <row r="18" ht="22" customHeight="1" spans="1:39" x14ac:dyDescent="0.25">
      <c r="A18" s="14" t="s">
        <v>25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3">
        <f>COUNTIF(B18:AF18, "연차")</f>
      </c>
      <c r="AH18" s="13">
        <f>COUNTIF(B18:AF18, "오전반차")</f>
      </c>
      <c r="AI18" s="13">
        <f>COUNTIF(B18:AF18, "오후반차")</f>
      </c>
      <c r="AJ18" s="13">
        <f>COUNTIF(B18:AF18, "공가") + COUNTIF(B18:AF18, "교육")</f>
      </c>
      <c r="AK18" s="13">
        <f>COUNTIF(B18:AF18, "재택")</f>
      </c>
      <c r="AL18" s="13">
        <f>COUNTIF(B18:AF18, "출장")</f>
      </c>
      <c r="AM18" s="13">
        <f>AG18+(AH18+AI18)*0.5+AJ18</f>
      </c>
    </row>
    <row r="19" ht="22" customHeight="1" spans="1:39" x14ac:dyDescent="0.25">
      <c r="A19" s="12" t="s">
        <v>26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3">
        <f>COUNTIF(B19:AF19, "연차")</f>
      </c>
      <c r="AH19" s="13">
        <f>COUNTIF(B19:AF19, "오전반차")</f>
      </c>
      <c r="AI19" s="13">
        <f>COUNTIF(B19:AF19, "오후반차")</f>
      </c>
      <c r="AJ19" s="13">
        <f>COUNTIF(B19:AF19, "공가") + COUNTIF(B19:AF19, "교육")</f>
      </c>
      <c r="AK19" s="13">
        <f>COUNTIF(B19:AF19, "재택")</f>
      </c>
      <c r="AL19" s="13">
        <f>COUNTIF(B19:AF19, "출장")</f>
      </c>
      <c r="AM19" s="13">
        <f>AG19+(AH19+AI19)*0.5+AJ19</f>
      </c>
    </row>
    <row r="20" ht="22" customHeight="1" spans="1:39" x14ac:dyDescent="0.25">
      <c r="A20" s="14" t="s">
        <v>27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3">
        <f>COUNTIF(B20:AF20, "연차")</f>
      </c>
      <c r="AH20" s="13">
        <f>COUNTIF(B20:AF20, "오전반차")</f>
      </c>
      <c r="AI20" s="13">
        <f>COUNTIF(B20:AF20, "오후반차")</f>
      </c>
      <c r="AJ20" s="13">
        <f>COUNTIF(B20:AF20, "공가") + COUNTIF(B20:AF20, "교육")</f>
      </c>
      <c r="AK20" s="13">
        <f>COUNTIF(B20:AF20, "재택")</f>
      </c>
      <c r="AL20" s="13">
        <f>COUNTIF(B20:AF20, "출장")</f>
      </c>
      <c r="AM20" s="13">
        <f>AG20+(AH20+AI20)*0.5+AJ20</f>
      </c>
    </row>
    <row r="21" ht="22" customHeight="1" spans="1:39" x14ac:dyDescent="0.25">
      <c r="A21" s="12" t="s">
        <v>28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3">
        <f>COUNTIF(B21:AF21, "연차")</f>
      </c>
      <c r="AH21" s="13">
        <f>COUNTIF(B21:AF21, "오전반차")</f>
      </c>
      <c r="AI21" s="13">
        <f>COUNTIF(B21:AF21, "오후반차")</f>
      </c>
      <c r="AJ21" s="13">
        <f>COUNTIF(B21:AF21, "공가") + COUNTIF(B21:AF21, "교육")</f>
      </c>
      <c r="AK21" s="13">
        <f>COUNTIF(B21:AF21, "재택")</f>
      </c>
      <c r="AL21" s="13">
        <f>COUNTIF(B21:AF21, "출장")</f>
      </c>
      <c r="AM21" s="13">
        <f>AG21+(AH21+AI21)*0.5+AJ21</f>
      </c>
    </row>
    <row r="22" ht="22" customHeight="1" spans="1:39" x14ac:dyDescent="0.25">
      <c r="A22" s="14" t="s">
        <v>29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3">
        <f>COUNTIF(B22:AF22, "연차")</f>
      </c>
      <c r="AH22" s="13">
        <f>COUNTIF(B22:AF22, "오전반차")</f>
      </c>
      <c r="AI22" s="13">
        <f>COUNTIF(B22:AF22, "오후반차")</f>
      </c>
      <c r="AJ22" s="13">
        <f>COUNTIF(B22:AF22, "공가") + COUNTIF(B22:AF22, "교육")</f>
      </c>
      <c r="AK22" s="13">
        <f>COUNTIF(B22:AF22, "재택")</f>
      </c>
      <c r="AL22" s="13">
        <f>COUNTIF(B22:AF22, "출장")</f>
      </c>
      <c r="AM22" s="13">
        <f>AG22+(AH22+AI22)*0.5+AJ22</f>
      </c>
    </row>
    <row r="23" ht="24" customHeight="1" spans="1:32" x14ac:dyDescent="0.25">
      <c r="A23" s="15" t="s">
        <v>30</v>
      </c>
      <c r="B23" s="15">
        <f>IF(B6="","",COUNTIF(B7:B22,"연차")+COUNTIF(B7:B22,"공가")+COUNTIF(B7:B22,"교육")+(COUNTIF(B7:B22,"오전반차")+COUNTIF(B7:B22,"오후반차"))*0.5)</f>
      </c>
      <c r="C23" s="15">
        <f>IF(C6="","",COUNTIF(C7:C22,"연차")+COUNTIF(C7:C22,"공가")+COUNTIF(C7:C22,"교육")+(COUNTIF(C7:C22,"오전반차")+COUNTIF(C7:C22,"오후반차"))*0.5)</f>
      </c>
      <c r="D23" s="15">
        <f>IF(D6="","",COUNTIF(D7:D22,"연차")+COUNTIF(D7:D22,"공가")+COUNTIF(D7:D22,"교육")+(COUNTIF(D7:D22,"오전반차")+COUNTIF(D7:D22,"오후반차"))*0.5)</f>
      </c>
      <c r="E23" s="15">
        <f>IF(E6="","",COUNTIF(E7:E22,"연차")+COUNTIF(E7:E22,"공가")+COUNTIF(E7:E22,"교육")+(COUNTIF(E7:E22,"오전반차")+COUNTIF(E7:E22,"오후반차"))*0.5)</f>
      </c>
      <c r="F23" s="15">
        <f>IF(F6="","",COUNTIF(F7:F22,"연차")+COUNTIF(F7:F22,"공가")+COUNTIF(F7:F22,"교육")+(COUNTIF(F7:F22,"오전반차")+COUNTIF(F7:F22,"오후반차"))*0.5)</f>
      </c>
      <c r="G23" s="15">
        <f>IF(G6="","",COUNTIF(G7:G22,"연차")+COUNTIF(G7:G22,"공가")+COUNTIF(G7:G22,"교육")+(COUNTIF(G7:G22,"오전반차")+COUNTIF(G7:G22,"오후반차"))*0.5)</f>
      </c>
      <c r="H23" s="15">
        <f>IF(H6="","",COUNTIF(H7:H22,"연차")+COUNTIF(H7:H22,"공가")+COUNTIF(H7:H22,"교육")+(COUNTIF(H7:H22,"오전반차")+COUNTIF(H7:H22,"오후반차"))*0.5)</f>
      </c>
      <c r="I23" s="15">
        <f>IF(I6="","",COUNTIF(I7:I22,"연차")+COUNTIF(I7:I22,"공가")+COUNTIF(I7:I22,"교육")+(COUNTIF(I7:I22,"오전반차")+COUNTIF(I7:I22,"오후반차"))*0.5)</f>
      </c>
      <c r="J23" s="15">
        <f>IF(J6="","",COUNTIF(J7:J22,"연차")+COUNTIF(J7:J22,"공가")+COUNTIF(J7:J22,"교육")+(COUNTIF(J7:J22,"오전반차")+COUNTIF(J7:J22,"오후반차"))*0.5)</f>
      </c>
      <c r="K23" s="15">
        <f>IF(K6="","",COUNTIF(K7:K22,"연차")+COUNTIF(K7:K22,"공가")+COUNTIF(K7:K22,"교육")+(COUNTIF(K7:K22,"오전반차")+COUNTIF(K7:K22,"오후반차"))*0.5)</f>
      </c>
      <c r="L23" s="15">
        <f>IF(L6="","",COUNTIF(L7:L22,"연차")+COUNTIF(L7:L22,"공가")+COUNTIF(L7:L22,"교육")+(COUNTIF(L7:L22,"오전반차")+COUNTIF(L7:L22,"오후반차"))*0.5)</f>
      </c>
      <c r="M23" s="15">
        <f>IF(M6="","",COUNTIF(M7:M22,"연차")+COUNTIF(M7:M22,"공가")+COUNTIF(M7:M22,"교육")+(COUNTIF(M7:M22,"오전반차")+COUNTIF(M7:M22,"오후반차"))*0.5)</f>
      </c>
      <c r="N23" s="15">
        <f>IF(N6="","",COUNTIF(N7:N22,"연차")+COUNTIF(N7:N22,"공가")+COUNTIF(N7:N22,"교육")+(COUNTIF(N7:N22,"오전반차")+COUNTIF(N7:N22,"오후반차"))*0.5)</f>
      </c>
      <c r="O23" s="15">
        <f>IF(O6="","",COUNTIF(O7:O22,"연차")+COUNTIF(O7:O22,"공가")+COUNTIF(O7:O22,"교육")+(COUNTIF(O7:O22,"오전반차")+COUNTIF(O7:O22,"오후반차"))*0.5)</f>
      </c>
      <c r="P23" s="15">
        <f>IF(P6="","",COUNTIF(P7:P22,"연차")+COUNTIF(P7:P22,"공가")+COUNTIF(P7:P22,"교육")+(COUNTIF(P7:P22,"오전반차")+COUNTIF(P7:P22,"오후반차"))*0.5)</f>
      </c>
      <c r="Q23" s="15">
        <f>IF(Q6="","",COUNTIF(Q7:Q22,"연차")+COUNTIF(Q7:Q22,"공가")+COUNTIF(Q7:Q22,"교육")+(COUNTIF(Q7:Q22,"오전반차")+COUNTIF(Q7:Q22,"오후반차"))*0.5)</f>
      </c>
      <c r="R23" s="15">
        <f>IF(R6="","",COUNTIF(R7:R22,"연차")+COUNTIF(R7:R22,"공가")+COUNTIF(R7:R22,"교육")+(COUNTIF(R7:R22,"오전반차")+COUNTIF(R7:R22,"오후반차"))*0.5)</f>
      </c>
      <c r="S23" s="15">
        <f>IF(S6="","",COUNTIF(S7:S22,"연차")+COUNTIF(S7:S22,"공가")+COUNTIF(S7:S22,"교육")+(COUNTIF(S7:S22,"오전반차")+COUNTIF(S7:S22,"오후반차"))*0.5)</f>
      </c>
      <c r="T23" s="15">
        <f>IF(T6="","",COUNTIF(T7:T22,"연차")+COUNTIF(T7:T22,"공가")+COUNTIF(T7:T22,"교육")+(COUNTIF(T7:T22,"오전반차")+COUNTIF(T7:T22,"오후반차"))*0.5)</f>
      </c>
      <c r="U23" s="15">
        <f>IF(U6="","",COUNTIF(U7:U22,"연차")+COUNTIF(U7:U22,"공가")+COUNTIF(U7:U22,"교육")+(COUNTIF(U7:U22,"오전반차")+COUNTIF(U7:U22,"오후반차"))*0.5)</f>
      </c>
      <c r="V23" s="15">
        <f>IF(V6="","",COUNTIF(V7:V22,"연차")+COUNTIF(V7:V22,"공가")+COUNTIF(V7:V22,"교육")+(COUNTIF(V7:V22,"오전반차")+COUNTIF(V7:V22,"오후반차"))*0.5)</f>
      </c>
      <c r="W23" s="15">
        <f>IF(W6="","",COUNTIF(W7:W22,"연차")+COUNTIF(W7:W22,"공가")+COUNTIF(W7:W22,"교육")+(COUNTIF(W7:W22,"오전반차")+COUNTIF(W7:W22,"오후반차"))*0.5)</f>
      </c>
      <c r="X23" s="15">
        <f>IF(X6="","",COUNTIF(X7:X22,"연차")+COUNTIF(X7:X22,"공가")+COUNTIF(X7:X22,"교육")+(COUNTIF(X7:X22,"오전반차")+COUNTIF(X7:X22,"오후반차"))*0.5)</f>
      </c>
      <c r="Y23" s="15">
        <f>IF(Y6="","",COUNTIF(Y7:Y22,"연차")+COUNTIF(Y7:Y22,"공가")+COUNTIF(Y7:Y22,"교육")+(COUNTIF(Y7:Y22,"오전반차")+COUNTIF(Y7:Y22,"오후반차"))*0.5)</f>
      </c>
      <c r="Z23" s="15">
        <f>IF(Z6="","",COUNTIF(Z7:Z22,"연차")+COUNTIF(Z7:Z22,"공가")+COUNTIF(Z7:Z22,"교육")+(COUNTIF(Z7:Z22,"오전반차")+COUNTIF(Z7:Z22,"오후반차"))*0.5)</f>
      </c>
      <c r="AA23" s="15">
        <f>IF(AA6="","",COUNTIF(AA7:AA22,"연차")+COUNTIF(AA7:AA22,"공가")+COUNTIF(AA7:AA22,"교육")+(COUNTIF(AA7:AA22,"오전반차")+COUNTIF(AA7:AA22,"오후반차"))*0.5)</f>
      </c>
      <c r="AB23" s="15">
        <f>IF(AB6="","",COUNTIF(AB7:AB22,"연차")+COUNTIF(AB7:AB22,"공가")+COUNTIF(AB7:AB22,"교육")+(COUNTIF(AB7:AB22,"오전반차")+COUNTIF(AB7:AB22,"오후반차"))*0.5)</f>
      </c>
      <c r="AC23" s="15">
        <f>IF(AC6="","",COUNTIF(AC7:AC22,"연차")+COUNTIF(AC7:AC22,"공가")+COUNTIF(AC7:AC22,"교육")+(COUNTIF(AC7:AC22,"오전반차")+COUNTIF(AC7:AC22,"오후반차"))*0.5)</f>
      </c>
      <c r="AD23" s="15">
        <f>IF(AD6="","",COUNTIF(AD7:AD22,"연차")+COUNTIF(AD7:AD22,"공가")+COUNTIF(AD7:AD22,"교육")+(COUNTIF(AD7:AD22,"오전반차")+COUNTIF(AD7:AD22,"오후반차"))*0.5)</f>
      </c>
      <c r="AE23" s="15">
        <f>IF(AE6="","",COUNTIF(AE7:AE22,"연차")+COUNTIF(AE7:AE22,"공가")+COUNTIF(AE7:AE22,"교육")+(COUNTIF(AE7:AE22,"오전반차")+COUNTIF(AE7:AE22,"오후반차"))*0.5)</f>
      </c>
      <c r="AF23" s="15">
        <f>IF(AF6="","",COUNTIF(AF7:AF22,"연차")+COUNTIF(AF7:AF22,"공가")+COUNTIF(AF7:AF22,"교육")+(COUNTIF(AF7:AF22,"오전반차")+COUNTIF(AF7:AF22,"오후반차"))*0.5)</f>
      </c>
    </row>
  </sheetData>
  <mergeCells count="1">
    <mergeCell ref="M4:S4"/>
  </mergeCells>
  <conditionalFormatting sqref="B7:AF22">
    <cfRule type="cellIs" dxfId="0" priority="1" operator="equal">
      <formula>"연차"</formula>
    </cfRule>
    <cfRule type="cellIs" dxfId="1" priority="2" operator="equal">
      <formula>"오전반차"</formula>
    </cfRule>
    <cfRule type="cellIs" dxfId="2" priority="3" operator="equal">
      <formula>"오후반차"</formula>
    </cfRule>
    <cfRule type="cellIs" dxfId="3" priority="4" operator="equal">
      <formula>"공가"</formula>
    </cfRule>
    <cfRule type="cellIs" dxfId="4" priority="5" operator="equal">
      <formula>"교육"</formula>
    </cfRule>
    <cfRule type="cellIs" dxfId="5" priority="6" operator="equal">
      <formula>"재택"</formula>
    </cfRule>
    <cfRule type="cellIs" dxfId="6" priority="7" operator="equal">
      <formula>"출장"</formula>
    </cfRule>
  </conditionalFormatting>
  <conditionalFormatting sqref="B6:AF23">
    <cfRule type="expression" dxfId="7" priority="8">
      <formula>AND(ISNUMBER(B$6), WEEKDAY(B$6)=7)</formula>
    </cfRule>
    <cfRule type="expression" dxfId="8" priority="9">
      <formula>AND(ISNUMBER(B$6), OR(WEEKDAY(B$6)=1, COUNTIF(설정!$F$2:$F$62, B$6)&gt;0))</formula>
    </cfRule>
  </conditionalFormatting>
  <dataValidations count="6">
    <dataValidation type="list" allowBlank="1" promptTitle="휴가 종류" prompt="휴가 종류를 선택하세요." errorTitle="입력 오류" error="목록에 있는 휴가 종류만 선택할 수 있습니다." sqref="AA10:AF22">
      <formula1>=설정!$A$2:$A$8</formula1>
    </dataValidation>
    <dataValidation type="list" allowBlank="1" promptTitle="휴가 종류" prompt="휴가 종류를 선택하세요." errorTitle="입력 오류" error="목록에 있는 휴가 종류만 선택할 수 있습니다." sqref="AA7:AF22">
      <formula1>=설정!$A$2:$A$8</formula1>
    </dataValidation>
    <dataValidation type="list" allowBlank="1" promptTitle="휴가 종류" prompt="휴가 종류를 선택하세요." errorTitle="입력 오류" error="목록에 있는 휴가 종류만 선택할 수 있습니다." sqref="B10:AF22">
      <formula1>=설정!$A$2:$A$8</formula1>
    </dataValidation>
    <dataValidation type="list" allowBlank="1" promptTitle="휴가 종류" prompt="휴가 종류를 선택하세요." errorTitle="입력 오류" error="목록에 있는 휴가 종류만 선택할 수 있습니다." sqref="B7:AF22">
      <formula1>=설정!$A$2:$A$8</formula1>
    </dataValidation>
    <dataValidation type="list" allowBlank="1" showErrorMessage="1" errorTitle="입력 오류" error="올바른 연도를 선택하세요." sqref="C4">
      <formula1>=설정!$C$2:$C$7</formula1>
    </dataValidation>
    <dataValidation type="list" allowBlank="1" showErrorMessage="1" errorTitle="입력 오류" error="올바른 월을 선택하세요." sqref="E4">
      <formula1>=설정!$D$2:$D$13</formula1>
    </dataValidation>
  </dataValidations>
  <pageMargins left="0.5" right="0.5" top="0.5" bottom="0.5" header="0.3" footer="0.3"/>
  <pageSetup paperSize="9"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6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6" x14ac:dyDescent="0.25">
      <c r="A1" s="16" t="s">
        <v>31</v>
      </c>
      <c r="C1" t="s">
        <v>32</v>
      </c>
      <c r="D1" t="s">
        <v>33</v>
      </c>
      <c r="F1" t="s">
        <v>34</v>
      </c>
    </row>
    <row r="2" spans="1:6" x14ac:dyDescent="0.25">
      <c r="A2" t="s">
        <v>7</v>
      </c>
      <c r="C2">
        <v>2025</v>
      </c>
      <c r="D2">
        <v>1</v>
      </c>
      <c r="F2">
        <f>DATE(2025,01,01)</f>
      </c>
    </row>
    <row r="3" spans="1:6" x14ac:dyDescent="0.25">
      <c r="A3" t="s">
        <v>8</v>
      </c>
      <c r="C3">
        <v>2026</v>
      </c>
      <c r="D3">
        <v>2</v>
      </c>
      <c r="F3">
        <f>DATE(2025,01,28)</f>
      </c>
    </row>
    <row r="4" spans="1:6" x14ac:dyDescent="0.25">
      <c r="A4" t="s">
        <v>9</v>
      </c>
      <c r="C4">
        <v>2027</v>
      </c>
      <c r="D4">
        <v>3</v>
      </c>
      <c r="F4">
        <f>DATE(2025,01,29)</f>
      </c>
    </row>
    <row r="5" spans="1:6" x14ac:dyDescent="0.25">
      <c r="A5" t="s">
        <v>35</v>
      </c>
      <c r="C5">
        <v>2028</v>
      </c>
      <c r="D5">
        <v>4</v>
      </c>
      <c r="F5">
        <f>DATE(2025,01,30)</f>
      </c>
    </row>
    <row r="6" spans="1:6" x14ac:dyDescent="0.25">
      <c r="A6" t="s">
        <v>36</v>
      </c>
      <c r="C6">
        <v>2029</v>
      </c>
      <c r="D6">
        <v>5</v>
      </c>
      <c r="F6">
        <f>DATE(2025,03,01)</f>
      </c>
    </row>
    <row r="7" spans="1:6" x14ac:dyDescent="0.25">
      <c r="A7" t="s">
        <v>11</v>
      </c>
      <c r="C7">
        <v>2030</v>
      </c>
      <c r="D7">
        <v>6</v>
      </c>
      <c r="F7">
        <f>DATE(2025,03,03)</f>
      </c>
    </row>
    <row r="8" spans="1:6" x14ac:dyDescent="0.25">
      <c r="A8" t="s">
        <v>12</v>
      </c>
      <c r="D8">
        <v>7</v>
      </c>
      <c r="F8">
        <f>DATE(2025,05,01)</f>
      </c>
    </row>
    <row r="9" spans="4:6" x14ac:dyDescent="0.25">
      <c r="D9">
        <v>8</v>
      </c>
      <c r="F9">
        <f>DATE(2025,05,05)</f>
      </c>
    </row>
    <row r="10" spans="4:6" x14ac:dyDescent="0.25">
      <c r="D10">
        <v>9</v>
      </c>
      <c r="F10">
        <f>DATE(2025,05,06)</f>
      </c>
    </row>
    <row r="11" spans="4:6" x14ac:dyDescent="0.25">
      <c r="D11">
        <v>10</v>
      </c>
      <c r="F11">
        <f>DATE(2025,06,06)</f>
      </c>
    </row>
    <row r="12" spans="4:6" x14ac:dyDescent="0.25">
      <c r="D12">
        <v>11</v>
      </c>
      <c r="F12">
        <f>DATE(2025,08,15)</f>
      </c>
    </row>
    <row r="13" spans="4:6" x14ac:dyDescent="0.25">
      <c r="D13">
        <v>12</v>
      </c>
      <c r="F13">
        <f>DATE(2025,10,03)</f>
      </c>
    </row>
    <row r="14" spans="6:6" x14ac:dyDescent="0.25">
      <c r="F14">
        <f>DATE(2025,10,05)</f>
      </c>
    </row>
    <row r="15" spans="6:6" x14ac:dyDescent="0.25">
      <c r="F15">
        <f>DATE(2025,10,06)</f>
      </c>
    </row>
    <row r="16" spans="6:6" x14ac:dyDescent="0.25">
      <c r="F16">
        <f>DATE(2025,10,07)</f>
      </c>
    </row>
    <row r="17" spans="6:6" x14ac:dyDescent="0.25">
      <c r="F17">
        <f>DATE(2025,10,08)</f>
      </c>
    </row>
    <row r="18" spans="6:6" x14ac:dyDescent="0.25">
      <c r="F18">
        <f>DATE(2025,10,09)</f>
      </c>
    </row>
    <row r="19" spans="6:6" x14ac:dyDescent="0.25">
      <c r="F19">
        <f>DATE(2025,12,25)</f>
      </c>
    </row>
    <row r="20" spans="6:6" x14ac:dyDescent="0.25">
      <c r="F20">
        <f>DATE(2026,01,01)</f>
      </c>
    </row>
    <row r="21" spans="6:6" x14ac:dyDescent="0.25">
      <c r="F21">
        <f>DATE(2026,02,16)</f>
      </c>
    </row>
    <row r="22" spans="6:6" x14ac:dyDescent="0.25">
      <c r="F22">
        <f>DATE(2026,02,17)</f>
      </c>
    </row>
    <row r="23" spans="6:6" x14ac:dyDescent="0.25">
      <c r="F23">
        <f>DATE(2026,02,18)</f>
      </c>
    </row>
    <row r="24" spans="6:6" x14ac:dyDescent="0.25">
      <c r="F24">
        <f>DATE(2026,03,01)</f>
      </c>
    </row>
    <row r="25" spans="6:6" x14ac:dyDescent="0.25">
      <c r="F25">
        <f>DATE(2026,03,02)</f>
      </c>
    </row>
    <row r="26" spans="6:6" x14ac:dyDescent="0.25">
      <c r="F26">
        <f>DATE(2026,05,01)</f>
      </c>
    </row>
    <row r="27" spans="6:6" x14ac:dyDescent="0.25">
      <c r="F27">
        <f>DATE(2026,05,05)</f>
      </c>
    </row>
    <row r="28" spans="6:6" x14ac:dyDescent="0.25">
      <c r="F28">
        <f>DATE(2026,05,24)</f>
      </c>
    </row>
    <row r="29" spans="6:6" x14ac:dyDescent="0.25">
      <c r="F29">
        <f>DATE(2026,05,25)</f>
      </c>
    </row>
    <row r="30" spans="6:6" x14ac:dyDescent="0.25">
      <c r="F30">
        <f>DATE(2026,06,03)</f>
      </c>
    </row>
    <row r="31" spans="6:6" x14ac:dyDescent="0.25">
      <c r="F31">
        <f>DATE(2026,06,06)</f>
      </c>
    </row>
    <row r="32" spans="6:6" x14ac:dyDescent="0.25">
      <c r="F32">
        <f>DATE(2026,07,17)</f>
      </c>
    </row>
    <row r="33" spans="6:6" x14ac:dyDescent="0.25">
      <c r="F33">
        <f>DATE(2026,08,15)</f>
      </c>
    </row>
    <row r="34" spans="6:6" x14ac:dyDescent="0.25">
      <c r="F34">
        <f>DATE(2026,08,17)</f>
      </c>
    </row>
    <row r="35" spans="6:6" x14ac:dyDescent="0.25">
      <c r="F35">
        <f>DATE(2026,09,24)</f>
      </c>
    </row>
    <row r="36" spans="6:6" x14ac:dyDescent="0.25">
      <c r="F36">
        <f>DATE(2026,09,25)</f>
      </c>
    </row>
    <row r="37" spans="6:6" x14ac:dyDescent="0.25">
      <c r="F37">
        <f>DATE(2026,09,26)</f>
      </c>
    </row>
    <row r="38" spans="6:6" x14ac:dyDescent="0.25">
      <c r="F38">
        <f>DATE(2026,10,03)</f>
      </c>
    </row>
    <row r="39" spans="6:6" x14ac:dyDescent="0.25">
      <c r="F39">
        <f>DATE(2026,10,05)</f>
      </c>
    </row>
    <row r="40" spans="6:6" x14ac:dyDescent="0.25">
      <c r="F40">
        <f>DATE(2026,10,09)</f>
      </c>
    </row>
    <row r="41" spans="6:6" x14ac:dyDescent="0.25">
      <c r="F41">
        <f>DATE(2026,12,25)</f>
      </c>
    </row>
    <row r="42" spans="6:6" x14ac:dyDescent="0.25">
      <c r="F42">
        <f>DATE(2027,01,01)</f>
      </c>
    </row>
    <row r="43" spans="6:6" x14ac:dyDescent="0.25">
      <c r="F43">
        <f>DATE(2027,02,06)</f>
      </c>
    </row>
    <row r="44" spans="6:6" x14ac:dyDescent="0.25">
      <c r="F44">
        <f>DATE(2027,02,07)</f>
      </c>
    </row>
    <row r="45" spans="6:6" x14ac:dyDescent="0.25">
      <c r="F45">
        <f>DATE(2027,02,08)</f>
      </c>
    </row>
    <row r="46" spans="6:6" x14ac:dyDescent="0.25">
      <c r="F46">
        <f>DATE(2027,02,09)</f>
      </c>
    </row>
    <row r="47" spans="6:6" x14ac:dyDescent="0.25">
      <c r="F47">
        <f>DATE(2027,03,01)</f>
      </c>
    </row>
    <row r="48" spans="6:6" x14ac:dyDescent="0.25">
      <c r="F48">
        <f>DATE(2027,05,01)</f>
      </c>
    </row>
    <row r="49" spans="6:6" x14ac:dyDescent="0.25">
      <c r="F49">
        <f>DATE(2027,05,05)</f>
      </c>
    </row>
    <row r="50" spans="6:6" x14ac:dyDescent="0.25">
      <c r="F50">
        <f>DATE(2027,05,13)</f>
      </c>
    </row>
    <row r="51" spans="6:6" x14ac:dyDescent="0.25">
      <c r="F51">
        <f>DATE(2027,06,06)</f>
      </c>
    </row>
    <row r="52" spans="6:6" x14ac:dyDescent="0.25">
      <c r="F52">
        <f>DATE(2027,06,07)</f>
      </c>
    </row>
    <row r="53" spans="6:6" x14ac:dyDescent="0.25">
      <c r="F53">
        <f>DATE(2027,08,15)</f>
      </c>
    </row>
    <row r="54" spans="6:6" x14ac:dyDescent="0.25">
      <c r="F54">
        <f>DATE(2027,08,16)</f>
      </c>
    </row>
    <row r="55" spans="6:6" x14ac:dyDescent="0.25">
      <c r="F55">
        <f>DATE(2027,09,14)</f>
      </c>
    </row>
    <row r="56" spans="6:6" x14ac:dyDescent="0.25">
      <c r="F56">
        <f>DATE(2027,09,15)</f>
      </c>
    </row>
    <row r="57" spans="6:6" x14ac:dyDescent="0.25">
      <c r="F57">
        <f>DATE(2027,09,16)</f>
      </c>
    </row>
    <row r="58" spans="6:6" x14ac:dyDescent="0.25">
      <c r="F58">
        <f>DATE(2027,10,03)</f>
      </c>
    </row>
    <row r="59" spans="6:6" x14ac:dyDescent="0.25">
      <c r="F59">
        <f>DATE(2027,10,04)</f>
      </c>
    </row>
    <row r="60" spans="6:6" x14ac:dyDescent="0.25">
      <c r="F60">
        <f>DATE(2027,10,09)</f>
      </c>
    </row>
    <row r="61" spans="6:6" x14ac:dyDescent="0.25">
      <c r="F61">
        <f>DATE(2027,10,11)</f>
      </c>
    </row>
    <row r="62" spans="6:6" x14ac:dyDescent="0.25">
      <c r="F62">
        <f>DATE(2027,12,25)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휴가관리대장</vt:lpstr>
      <vt:lpstr>설정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2026-07-10T00:21:04Z</dcterms:created>
  <dcterms:modified xsi:type="dcterms:W3CDTF">2026-07-10T00:21:04Z</dcterms:modified>
</cp:coreProperties>
</file>